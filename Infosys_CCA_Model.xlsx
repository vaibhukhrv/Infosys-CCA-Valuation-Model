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av\OneDrive\Desktop\"/>
    </mc:Choice>
  </mc:AlternateContent>
  <xr:revisionPtr revIDLastSave="0" documentId="8_{CB09E31D-EE1D-4FBB-90A9-C66891B52C2C}" xr6:coauthVersionLast="47" xr6:coauthVersionMax="47" xr10:uidLastSave="{00000000-0000-0000-0000-000000000000}"/>
  <bookViews>
    <workbookView xWindow="-120" yWindow="-120" windowWidth="29040" windowHeight="15720" activeTab="5" xr2:uid="{B7FF04B3-8C6E-47F1-AE8B-2D65362AFF43}"/>
  </bookViews>
  <sheets>
    <sheet name="Peer set" sheetId="7" r:id="rId1"/>
    <sheet name="Market Data" sheetId="1" r:id="rId2"/>
    <sheet name="Financial Data" sheetId="3" r:id="rId3"/>
    <sheet name="Trading Multiples" sheetId="4" r:id="rId4"/>
    <sheet name="Valuation Summary" sheetId="5" r:id="rId5"/>
    <sheet name="Football Field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3" i="4"/>
  <c r="I4" i="4"/>
  <c r="I5" i="4"/>
  <c r="I6" i="4"/>
  <c r="I7" i="4"/>
  <c r="I8" i="4"/>
  <c r="I3" i="4"/>
  <c r="H4" i="4"/>
  <c r="H5" i="4"/>
  <c r="H6" i="4"/>
  <c r="H7" i="4"/>
  <c r="H8" i="4"/>
  <c r="H3" i="4"/>
  <c r="H5" i="1"/>
  <c r="H6" i="1"/>
  <c r="H7" i="1"/>
  <c r="H8" i="1"/>
  <c r="H9" i="1"/>
  <c r="H4" i="1"/>
</calcChain>
</file>

<file path=xl/sharedStrings.xml><?xml version="1.0" encoding="utf-8"?>
<sst xmlns="http://schemas.openxmlformats.org/spreadsheetml/2006/main" count="146" uniqueCount="97">
  <si>
    <t>A</t>
  </si>
  <si>
    <t>B</t>
  </si>
  <si>
    <t>C</t>
  </si>
  <si>
    <t>D</t>
  </si>
  <si>
    <t>E</t>
  </si>
  <si>
    <t>F</t>
  </si>
  <si>
    <t>G</t>
  </si>
  <si>
    <t>Company</t>
  </si>
  <si>
    <t>Share Price</t>
  </si>
  <si>
    <t>Shares Outstanding</t>
  </si>
  <si>
    <t>Market Cap</t>
  </si>
  <si>
    <t>Cash</t>
  </si>
  <si>
    <t>Debt</t>
  </si>
  <si>
    <t>Enterprise Value</t>
  </si>
  <si>
    <t>Infosys</t>
  </si>
  <si>
    <t>TCS</t>
  </si>
  <si>
    <t>HCLTech</t>
  </si>
  <si>
    <t>Wipro</t>
  </si>
  <si>
    <t>Tech Mahindra</t>
  </si>
  <si>
    <t>LTIMindtree</t>
  </si>
  <si>
    <t>Enterprise Value = Market Cap + Debt - Cash</t>
  </si>
  <si>
    <t>Revenue</t>
  </si>
  <si>
    <t>EBITDA</t>
  </si>
  <si>
    <t>Net Income</t>
  </si>
  <si>
    <t>EV/Revenue</t>
  </si>
  <si>
    <t>EV/EBITDA</t>
  </si>
  <si>
    <t>P/E</t>
  </si>
  <si>
    <t>Metric</t>
  </si>
  <si>
    <t>Min</t>
  </si>
  <si>
    <t>Mean</t>
  </si>
  <si>
    <t>Median</t>
  </si>
  <si>
    <t>Max</t>
  </si>
  <si>
    <t>Valuation Method</t>
  </si>
  <si>
    <t>Multiple</t>
  </si>
  <si>
    <t>Infosys Metric</t>
  </si>
  <si>
    <t>Implied Value</t>
  </si>
  <si>
    <t>EV/Revenue (Median)</t>
  </si>
  <si>
    <t>3.43x</t>
  </si>
  <si>
    <t>EV/EBITDA (Median)</t>
  </si>
  <si>
    <t>18.42x</t>
  </si>
  <si>
    <t>P/E (Median)</t>
  </si>
  <si>
    <t>25.42x</t>
  </si>
  <si>
    <t>Ticker</t>
  </si>
  <si>
    <t>Country</t>
  </si>
  <si>
    <t>Sector</t>
  </si>
  <si>
    <t>Market Position</t>
  </si>
  <si>
    <t>Reason for Inclusion</t>
  </si>
  <si>
    <t>INFY</t>
  </si>
  <si>
    <t>India</t>
  </si>
  <si>
    <t>IT Services</t>
  </si>
  <si>
    <t>Target Company</t>
  </si>
  <si>
    <t>Valuation Subject</t>
  </si>
  <si>
    <t>Large Cap Peer</t>
  </si>
  <si>
    <t>Direct Competitor</t>
  </si>
  <si>
    <t>HCLTECH</t>
  </si>
  <si>
    <t>Similar Business Model</t>
  </si>
  <si>
    <t>WIPRO</t>
  </si>
  <si>
    <t>Industry Comparable</t>
  </si>
  <si>
    <t>TECHM</t>
  </si>
  <si>
    <t>Mid/Large Cap Peer</t>
  </si>
  <si>
    <t>Similar Service Offering</t>
  </si>
  <si>
    <t>LTIM</t>
  </si>
  <si>
    <t>Mid Cap Peer</t>
  </si>
  <si>
    <t>Comparable Growth Profile</t>
  </si>
  <si>
    <t>PEER GROUP SELECTION</t>
  </si>
  <si>
    <t>Target Company: Infosys Ltd.</t>
  </si>
  <si>
    <t>Comparable Companies:</t>
  </si>
  <si>
    <t>• Tata Consultancy Services (TCS)</t>
  </si>
  <si>
    <t>• HCL Technologies</t>
  </si>
  <si>
    <t>• Wipro Ltd.</t>
  </si>
  <si>
    <t>• Tech Mahindra</t>
  </si>
  <si>
    <t>• LTIMindtree</t>
  </si>
  <si>
    <t>Selection Criteria:</t>
  </si>
  <si>
    <t>• Indian IT Services Companies</t>
  </si>
  <si>
    <t>• Similar Business Model</t>
  </si>
  <si>
    <t>• Similar Revenue Streams</t>
  </si>
  <si>
    <t>• Publicly Listed Companies</t>
  </si>
  <si>
    <t>• Comparable Scale and Market Presence</t>
  </si>
  <si>
    <t>Valuation Methodology:
Comparable Company Analysis (CCA) based on
EV/Revenue, EV/EBITDA and P/E trading multiples
of publicly listed Indian IT Services peers.</t>
  </si>
  <si>
    <t>Method</t>
  </si>
  <si>
    <t>Implied EV</t>
  </si>
  <si>
    <t>Implied Equity Value</t>
  </si>
  <si>
    <t>Implied Share Price</t>
  </si>
  <si>
    <t>N/A</t>
  </si>
  <si>
    <t>Item</t>
  </si>
  <si>
    <t>Value</t>
  </si>
  <si>
    <t>Low Value</t>
  </si>
  <si>
    <t>Median Value</t>
  </si>
  <si>
    <t>High Value</t>
  </si>
  <si>
    <t>Current Price</t>
  </si>
  <si>
    <t>Upside / (Downside)</t>
  </si>
  <si>
    <t>Valuation Range</t>
  </si>
  <si>
    <t>Implied Valuation</t>
  </si>
  <si>
    <t>Trading Multiples Summary</t>
  </si>
  <si>
    <t>Final Output Table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</si>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</sst>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3" fontId="0" fillId="0" borderId="1" xfId="0" applyNumberFormat="1" applyBorder="1" applyAlignment="1">
      <alignment horizontal="right" vertical="center" wrapText="1"/>
    </xf>
    <xf numFmtId="6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right" vertical="center" wrapText="1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60F3-51A0-4903-BAF7-DD9D8D46FD4E}">
  <dimension ref="B2:H34"/>
  <sheetViews>
    <sheetView topLeftCell="A7" zoomScale="160" zoomScaleNormal="160" workbookViewId="0">
      <selection activeCell="F41" sqref="F41"/>
    </sheetView>
  </sheetViews>
  <sheetFormatPr defaultRowHeight="15" x14ac:dyDescent="0.25"/>
  <cols>
    <col min="2" max="2" width="38.140625" bestFit="1" customWidth="1"/>
  </cols>
  <sheetData>
    <row r="2" spans="2:7" ht="45" x14ac:dyDescent="0.25">
      <c r="B2" s="1" t="s">
        <v>7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</row>
    <row r="3" spans="2:7" ht="45" x14ac:dyDescent="0.25">
      <c r="B3" s="3" t="s">
        <v>14</v>
      </c>
      <c r="C3" s="3" t="s">
        <v>47</v>
      </c>
      <c r="D3" s="3" t="s">
        <v>48</v>
      </c>
      <c r="E3" s="3" t="s">
        <v>49</v>
      </c>
      <c r="F3" s="3" t="s">
        <v>50</v>
      </c>
      <c r="G3" s="3" t="s">
        <v>51</v>
      </c>
    </row>
    <row r="4" spans="2:7" ht="45" x14ac:dyDescent="0.25">
      <c r="B4" s="3" t="s">
        <v>15</v>
      </c>
      <c r="C4" s="3" t="s">
        <v>15</v>
      </c>
      <c r="D4" s="3" t="s">
        <v>48</v>
      </c>
      <c r="E4" s="3" t="s">
        <v>49</v>
      </c>
      <c r="F4" s="3" t="s">
        <v>52</v>
      </c>
      <c r="G4" s="3" t="s">
        <v>53</v>
      </c>
    </row>
    <row r="5" spans="2:7" ht="45" x14ac:dyDescent="0.25">
      <c r="B5" s="3" t="s">
        <v>16</v>
      </c>
      <c r="C5" s="3" t="s">
        <v>54</v>
      </c>
      <c r="D5" s="3" t="s">
        <v>48</v>
      </c>
      <c r="E5" s="3" t="s">
        <v>49</v>
      </c>
      <c r="F5" s="3" t="s">
        <v>52</v>
      </c>
      <c r="G5" s="3" t="s">
        <v>55</v>
      </c>
    </row>
    <row r="6" spans="2:7" ht="45" x14ac:dyDescent="0.25">
      <c r="B6" s="3" t="s">
        <v>17</v>
      </c>
      <c r="C6" s="3" t="s">
        <v>56</v>
      </c>
      <c r="D6" s="3" t="s">
        <v>48</v>
      </c>
      <c r="E6" s="3" t="s">
        <v>49</v>
      </c>
      <c r="F6" s="3" t="s">
        <v>52</v>
      </c>
      <c r="G6" s="3" t="s">
        <v>57</v>
      </c>
    </row>
    <row r="7" spans="2:7" ht="45" x14ac:dyDescent="0.25">
      <c r="B7" s="3" t="s">
        <v>18</v>
      </c>
      <c r="C7" s="3" t="s">
        <v>58</v>
      </c>
      <c r="D7" s="3" t="s">
        <v>48</v>
      </c>
      <c r="E7" s="3" t="s">
        <v>49</v>
      </c>
      <c r="F7" s="3" t="s">
        <v>59</v>
      </c>
      <c r="G7" s="3" t="s">
        <v>60</v>
      </c>
    </row>
    <row r="8" spans="2:7" ht="60" x14ac:dyDescent="0.25">
      <c r="B8" s="3" t="s">
        <v>19</v>
      </c>
      <c r="C8" s="3" t="s">
        <v>61</v>
      </c>
      <c r="D8" s="3" t="s">
        <v>48</v>
      </c>
      <c r="E8" s="3" t="s">
        <v>49</v>
      </c>
      <c r="F8" s="3" t="s">
        <v>62</v>
      </c>
      <c r="G8" s="3" t="s">
        <v>63</v>
      </c>
    </row>
    <row r="11" spans="2:7" x14ac:dyDescent="0.25">
      <c r="B11" t="s">
        <v>64</v>
      </c>
    </row>
    <row r="13" spans="2:7" x14ac:dyDescent="0.25">
      <c r="B13" t="s">
        <v>65</v>
      </c>
    </row>
    <row r="15" spans="2:7" x14ac:dyDescent="0.25">
      <c r="B15" t="s">
        <v>66</v>
      </c>
    </row>
    <row r="16" spans="2:7" x14ac:dyDescent="0.25">
      <c r="B16" t="s">
        <v>67</v>
      </c>
    </row>
    <row r="17" spans="2:8" x14ac:dyDescent="0.25">
      <c r="B17" t="s">
        <v>68</v>
      </c>
    </row>
    <row r="18" spans="2:8" x14ac:dyDescent="0.25">
      <c r="B18" t="s">
        <v>69</v>
      </c>
    </row>
    <row r="19" spans="2:8" x14ac:dyDescent="0.25">
      <c r="B19" t="s">
        <v>70</v>
      </c>
    </row>
    <row r="20" spans="2:8" x14ac:dyDescent="0.25">
      <c r="B20" t="s">
        <v>71</v>
      </c>
    </row>
    <row r="22" spans="2:8" x14ac:dyDescent="0.25">
      <c r="B22" t="s">
        <v>72</v>
      </c>
    </row>
    <row r="23" spans="2:8" x14ac:dyDescent="0.25">
      <c r="B23" t="s">
        <v>73</v>
      </c>
    </row>
    <row r="24" spans="2:8" x14ac:dyDescent="0.25">
      <c r="B24" t="s">
        <v>74</v>
      </c>
    </row>
    <row r="25" spans="2:8" x14ac:dyDescent="0.25">
      <c r="B25" t="s">
        <v>75</v>
      </c>
    </row>
    <row r="26" spans="2:8" x14ac:dyDescent="0.25">
      <c r="B26" t="s">
        <v>76</v>
      </c>
    </row>
    <row r="27" spans="2:8" x14ac:dyDescent="0.25">
      <c r="B27" t="s">
        <v>77</v>
      </c>
    </row>
    <row r="30" spans="2:8" x14ac:dyDescent="0.25">
      <c r="B30" s="8" t="s">
        <v>78</v>
      </c>
      <c r="C30" s="7"/>
      <c r="D30" s="7"/>
      <c r="E30" s="7"/>
      <c r="F30" s="7"/>
      <c r="G30" s="7"/>
      <c r="H30" s="7"/>
    </row>
    <row r="31" spans="2:8" x14ac:dyDescent="0.25">
      <c r="B31" s="7"/>
      <c r="C31" s="7"/>
      <c r="D31" s="7"/>
      <c r="E31" s="7"/>
      <c r="F31" s="7"/>
      <c r="G31" s="7"/>
      <c r="H31" s="7"/>
    </row>
    <row r="32" spans="2:8" x14ac:dyDescent="0.25">
      <c r="B32" s="7"/>
      <c r="C32" s="7"/>
      <c r="D32" s="7"/>
      <c r="E32" s="7"/>
      <c r="F32" s="7"/>
      <c r="G32" s="7"/>
      <c r="H32" s="7"/>
    </row>
    <row r="33" spans="2:8" x14ac:dyDescent="0.25">
      <c r="B33" s="7"/>
      <c r="C33" s="7"/>
      <c r="D33" s="7"/>
      <c r="E33" s="7"/>
      <c r="F33" s="7"/>
      <c r="G33" s="7"/>
      <c r="H33" s="7"/>
    </row>
    <row r="34" spans="2:8" x14ac:dyDescent="0.25">
      <c r="B34" s="7"/>
      <c r="C34" s="7"/>
      <c r="D34" s="7"/>
      <c r="E34" s="7"/>
      <c r="F34" s="7"/>
      <c r="G34" s="7"/>
      <c r="H34" s="7"/>
    </row>
  </sheetData>
  <mergeCells count="1">
    <mergeCell ref="B30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4219-742C-4F2B-9D4A-270B4E4C6F87}">
  <dimension ref="B2:M9"/>
  <sheetViews>
    <sheetView zoomScale="142" zoomScaleNormal="142" workbookViewId="0">
      <selection activeCell="I13" sqref="I13"/>
    </sheetView>
  </sheetViews>
  <sheetFormatPr defaultRowHeight="15" x14ac:dyDescent="0.25"/>
  <cols>
    <col min="3" max="3" width="6" bestFit="1" customWidth="1"/>
    <col min="13" max="13" width="40.42578125" bestFit="1" customWidth="1"/>
  </cols>
  <sheetData>
    <row r="2" spans="2:13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13" ht="45" x14ac:dyDescent="0.25">
      <c r="B3" s="1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5" t="s">
        <v>13</v>
      </c>
    </row>
    <row r="4" spans="2:13" x14ac:dyDescent="0.25">
      <c r="B4" s="3" t="s">
        <v>14</v>
      </c>
      <c r="C4" s="4">
        <v>1600</v>
      </c>
      <c r="D4" s="4">
        <v>414</v>
      </c>
      <c r="E4" s="4">
        <v>662400</v>
      </c>
      <c r="F4" s="4">
        <v>38000</v>
      </c>
      <c r="G4" s="4">
        <v>7000</v>
      </c>
      <c r="H4" s="6">
        <f>E4+G4-F4</f>
        <v>631400</v>
      </c>
      <c r="M4" t="s">
        <v>20</v>
      </c>
    </row>
    <row r="5" spans="2:13" x14ac:dyDescent="0.25">
      <c r="B5" s="3" t="s">
        <v>15</v>
      </c>
      <c r="C5" s="4">
        <v>3500</v>
      </c>
      <c r="D5" s="4">
        <v>362</v>
      </c>
      <c r="E5" s="4">
        <v>1267000</v>
      </c>
      <c r="F5" s="4">
        <v>62000</v>
      </c>
      <c r="G5" s="4">
        <v>9000</v>
      </c>
      <c r="H5" s="6">
        <f t="shared" ref="H5:H9" si="0">E5+G5-F5</f>
        <v>1214000</v>
      </c>
    </row>
    <row r="6" spans="2:13" x14ac:dyDescent="0.25">
      <c r="B6" s="3" t="s">
        <v>16</v>
      </c>
      <c r="C6" s="4">
        <v>1179</v>
      </c>
      <c r="D6" s="4">
        <v>271</v>
      </c>
      <c r="E6" s="4">
        <v>319509</v>
      </c>
      <c r="F6" s="4">
        <v>30052</v>
      </c>
      <c r="G6" s="4">
        <v>5157</v>
      </c>
      <c r="H6" s="6">
        <f t="shared" si="0"/>
        <v>294614</v>
      </c>
    </row>
    <row r="7" spans="2:13" x14ac:dyDescent="0.25">
      <c r="B7" s="3" t="s">
        <v>17</v>
      </c>
      <c r="C7" s="4">
        <v>204</v>
      </c>
      <c r="D7" s="4">
        <v>1046</v>
      </c>
      <c r="E7" s="4">
        <v>213384</v>
      </c>
      <c r="F7" s="4">
        <v>32000</v>
      </c>
      <c r="G7" s="4">
        <v>8000</v>
      </c>
      <c r="H7" s="6">
        <f t="shared" si="0"/>
        <v>189384</v>
      </c>
    </row>
    <row r="8" spans="2:13" ht="45" x14ac:dyDescent="0.25">
      <c r="B8" s="3" t="s">
        <v>18</v>
      </c>
      <c r="C8" s="4">
        <v>1700</v>
      </c>
      <c r="D8" s="4">
        <v>98</v>
      </c>
      <c r="E8" s="4">
        <v>166600</v>
      </c>
      <c r="F8" s="4">
        <v>12000</v>
      </c>
      <c r="G8" s="4">
        <v>4000</v>
      </c>
      <c r="H8" s="6">
        <f t="shared" si="0"/>
        <v>158600</v>
      </c>
    </row>
    <row r="9" spans="2:13" ht="30" x14ac:dyDescent="0.25">
      <c r="B9" s="3" t="s">
        <v>19</v>
      </c>
      <c r="C9" s="4">
        <v>5200</v>
      </c>
      <c r="D9" s="4">
        <v>29.6</v>
      </c>
      <c r="E9" s="4">
        <v>153920</v>
      </c>
      <c r="F9" s="4">
        <v>7000</v>
      </c>
      <c r="G9" s="4">
        <v>1000</v>
      </c>
      <c r="H9" s="6">
        <f t="shared" si="0"/>
        <v>147920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46B8-B0EC-4575-A075-739ADA3176F3}">
  <dimension ref="B2:E8"/>
  <sheetViews>
    <sheetView zoomScale="142" zoomScaleNormal="142" workbookViewId="0">
      <selection activeCell="D13" sqref="D13"/>
    </sheetView>
  </sheetViews>
  <sheetFormatPr defaultRowHeight="15" x14ac:dyDescent="0.25"/>
  <cols>
    <col min="3" max="3" width="8.85546875" bestFit="1" customWidth="1"/>
  </cols>
  <sheetData>
    <row r="2" spans="2:5" ht="30" x14ac:dyDescent="0.25">
      <c r="B2" s="1" t="s">
        <v>7</v>
      </c>
      <c r="C2" s="2" t="s">
        <v>21</v>
      </c>
      <c r="D2" s="2" t="s">
        <v>22</v>
      </c>
      <c r="E2" s="2" t="s">
        <v>23</v>
      </c>
    </row>
    <row r="3" spans="2:5" x14ac:dyDescent="0.25">
      <c r="B3" s="3" t="s">
        <v>14</v>
      </c>
      <c r="C3" s="4">
        <v>162990</v>
      </c>
      <c r="D3" s="4">
        <v>36600</v>
      </c>
      <c r="E3" s="4">
        <v>26750</v>
      </c>
    </row>
    <row r="4" spans="2:5" x14ac:dyDescent="0.25">
      <c r="B4" s="3" t="s">
        <v>15</v>
      </c>
      <c r="C4" s="4">
        <v>255300</v>
      </c>
      <c r="D4" s="4">
        <v>62000</v>
      </c>
      <c r="E4" s="4">
        <v>48600</v>
      </c>
    </row>
    <row r="5" spans="2:5" x14ac:dyDescent="0.25">
      <c r="B5" s="3" t="s">
        <v>16</v>
      </c>
      <c r="C5" s="4">
        <v>117055</v>
      </c>
      <c r="D5" s="4">
        <v>27174</v>
      </c>
      <c r="E5" s="4">
        <v>17600</v>
      </c>
    </row>
    <row r="6" spans="2:5" x14ac:dyDescent="0.25">
      <c r="B6" s="3" t="s">
        <v>17</v>
      </c>
      <c r="C6" s="4">
        <v>89088</v>
      </c>
      <c r="D6" s="4">
        <v>17361</v>
      </c>
      <c r="E6" s="4">
        <v>13135</v>
      </c>
    </row>
    <row r="7" spans="2:5" ht="45" x14ac:dyDescent="0.25">
      <c r="B7" s="3" t="s">
        <v>18</v>
      </c>
      <c r="C7" s="4">
        <v>52988</v>
      </c>
      <c r="D7" s="4">
        <v>7600</v>
      </c>
      <c r="E7" s="4">
        <v>4240</v>
      </c>
    </row>
    <row r="8" spans="2:5" ht="30" x14ac:dyDescent="0.25">
      <c r="B8" s="3" t="s">
        <v>19</v>
      </c>
      <c r="C8" s="4">
        <v>38008</v>
      </c>
      <c r="D8" s="4">
        <v>6900</v>
      </c>
      <c r="E8" s="4">
        <v>4600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F670-FB42-4B2C-A0CE-CCB09CE2194E}">
  <dimension ref="B2:J8"/>
  <sheetViews>
    <sheetView zoomScale="154" zoomScaleNormal="154" workbookViewId="0">
      <selection activeCell="F12" sqref="F12"/>
    </sheetView>
  </sheetViews>
  <sheetFormatPr defaultRowHeight="15" x14ac:dyDescent="0.25"/>
  <cols>
    <col min="8" max="10" width="12.5703125" bestFit="1" customWidth="1"/>
  </cols>
  <sheetData>
    <row r="2" spans="2:10" ht="30" x14ac:dyDescent="0.25">
      <c r="B2" s="1" t="s">
        <v>7</v>
      </c>
      <c r="C2" s="2" t="s">
        <v>13</v>
      </c>
      <c r="D2" s="2" t="s">
        <v>21</v>
      </c>
      <c r="E2" s="2" t="s">
        <v>22</v>
      </c>
      <c r="F2" s="2" t="s">
        <v>10</v>
      </c>
      <c r="G2" s="2" t="s">
        <v>23</v>
      </c>
      <c r="H2" s="2" t="s">
        <v>24</v>
      </c>
      <c r="I2" s="2" t="s">
        <v>25</v>
      </c>
      <c r="J2" s="2" t="s">
        <v>26</v>
      </c>
    </row>
    <row r="3" spans="2:10" x14ac:dyDescent="0.25">
      <c r="B3" s="3" t="s">
        <v>14</v>
      </c>
      <c r="C3" s="4">
        <v>631400</v>
      </c>
      <c r="D3" s="4">
        <v>162990</v>
      </c>
      <c r="E3" s="4">
        <v>36600</v>
      </c>
      <c r="F3" s="4">
        <v>662400</v>
      </c>
      <c r="G3" s="4">
        <v>26750</v>
      </c>
      <c r="H3" s="4">
        <f>C3/D3</f>
        <v>3.8738572918583962</v>
      </c>
      <c r="I3" s="4">
        <f>C3/E3</f>
        <v>17.251366120218581</v>
      </c>
      <c r="J3" s="4">
        <f>F3/G3</f>
        <v>24.762616822429905</v>
      </c>
    </row>
    <row r="4" spans="2:10" x14ac:dyDescent="0.25">
      <c r="B4" s="3" t="s">
        <v>15</v>
      </c>
      <c r="C4" s="4">
        <v>1214000</v>
      </c>
      <c r="D4" s="4">
        <v>255300</v>
      </c>
      <c r="E4" s="4">
        <v>62000</v>
      </c>
      <c r="F4" s="4">
        <v>1267000</v>
      </c>
      <c r="G4" s="4">
        <v>48600</v>
      </c>
      <c r="H4" s="4">
        <f t="shared" ref="H4:H8" si="0">C4/D4</f>
        <v>4.7551899725812765</v>
      </c>
      <c r="I4" s="4">
        <f t="shared" ref="I4:I8" si="1">C4/E4</f>
        <v>19.580645161290324</v>
      </c>
      <c r="J4" s="4">
        <f t="shared" ref="J4:J8" si="2">F4/G4</f>
        <v>26.069958847736626</v>
      </c>
    </row>
    <row r="5" spans="2:10" x14ac:dyDescent="0.25">
      <c r="B5" s="3" t="s">
        <v>16</v>
      </c>
      <c r="C5" s="4">
        <v>294614</v>
      </c>
      <c r="D5" s="4">
        <v>117055</v>
      </c>
      <c r="E5" s="4">
        <v>27174</v>
      </c>
      <c r="F5" s="4">
        <v>319509</v>
      </c>
      <c r="G5" s="4">
        <v>17600</v>
      </c>
      <c r="H5" s="4">
        <f t="shared" si="0"/>
        <v>2.5168852248942803</v>
      </c>
      <c r="I5" s="4">
        <f t="shared" si="1"/>
        <v>10.841760506366379</v>
      </c>
      <c r="J5" s="4">
        <f t="shared" si="2"/>
        <v>18.153920454545453</v>
      </c>
    </row>
    <row r="6" spans="2:10" x14ac:dyDescent="0.25">
      <c r="B6" s="3" t="s">
        <v>17</v>
      </c>
      <c r="C6" s="4">
        <v>189384</v>
      </c>
      <c r="D6" s="4">
        <v>89088</v>
      </c>
      <c r="E6" s="4">
        <v>17361</v>
      </c>
      <c r="F6" s="4">
        <v>213384</v>
      </c>
      <c r="G6" s="4">
        <v>13135</v>
      </c>
      <c r="H6" s="4">
        <f t="shared" si="0"/>
        <v>2.1258081896551726</v>
      </c>
      <c r="I6" s="4">
        <f t="shared" si="1"/>
        <v>10.908588214964576</v>
      </c>
      <c r="J6" s="4">
        <f t="shared" si="2"/>
        <v>16.245451084887705</v>
      </c>
    </row>
    <row r="7" spans="2:10" ht="45" x14ac:dyDescent="0.25">
      <c r="B7" s="3" t="s">
        <v>18</v>
      </c>
      <c r="C7" s="4">
        <v>158600</v>
      </c>
      <c r="D7" s="4">
        <v>52988</v>
      </c>
      <c r="E7" s="4">
        <v>7600</v>
      </c>
      <c r="F7" s="4">
        <v>166600</v>
      </c>
      <c r="G7" s="4">
        <v>4240</v>
      </c>
      <c r="H7" s="4">
        <f t="shared" si="0"/>
        <v>2.9931305201177625</v>
      </c>
      <c r="I7" s="4">
        <f t="shared" si="1"/>
        <v>20.868421052631579</v>
      </c>
      <c r="J7" s="4">
        <f t="shared" si="2"/>
        <v>39.29245283018868</v>
      </c>
    </row>
    <row r="8" spans="2:10" ht="30" x14ac:dyDescent="0.25">
      <c r="B8" s="3" t="s">
        <v>19</v>
      </c>
      <c r="C8" s="4">
        <v>147920</v>
      </c>
      <c r="D8" s="4">
        <v>38008</v>
      </c>
      <c r="E8" s="4">
        <v>6900</v>
      </c>
      <c r="F8" s="4">
        <v>153920</v>
      </c>
      <c r="G8" s="4">
        <v>4600</v>
      </c>
      <c r="H8" s="4">
        <f t="shared" si="0"/>
        <v>3.8918122500526207</v>
      </c>
      <c r="I8" s="4">
        <f t="shared" si="1"/>
        <v>21.43768115942029</v>
      </c>
      <c r="J8" s="4">
        <f t="shared" si="2"/>
        <v>33.460869565217394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EBFA-3224-4CC0-8CE7-5C39E7DF660F}">
  <dimension ref="B2:E30"/>
  <sheetViews>
    <sheetView topLeftCell="A16" zoomScale="136" zoomScaleNormal="136" workbookViewId="0">
      <selection activeCell="I19" sqref="I19"/>
    </sheetView>
  </sheetViews>
  <sheetFormatPr defaultRowHeight="15" x14ac:dyDescent="0.25"/>
  <cols>
    <col min="3" max="3" width="12" bestFit="1" customWidth="1"/>
  </cols>
  <sheetData>
    <row r="2" spans="2:5" x14ac:dyDescent="0.25">
      <c r="B2" s="13" t="s">
        <v>93</v>
      </c>
      <c r="C2" s="13"/>
      <c r="D2" s="13"/>
      <c r="E2" s="13"/>
    </row>
    <row r="3" spans="2:5" ht="30" x14ac:dyDescent="0.25">
      <c r="B3" s="1" t="s">
        <v>27</v>
      </c>
      <c r="C3" s="2" t="s">
        <v>24</v>
      </c>
      <c r="D3" s="2" t="s">
        <v>25</v>
      </c>
      <c r="E3" s="2" t="s">
        <v>26</v>
      </c>
    </row>
    <row r="4" spans="2:5" x14ac:dyDescent="0.25">
      <c r="B4" s="3" t="s">
        <v>28</v>
      </c>
      <c r="C4" s="4">
        <v>2.13</v>
      </c>
      <c r="D4" s="4">
        <v>10.84</v>
      </c>
      <c r="E4" s="4">
        <v>16.25</v>
      </c>
    </row>
    <row r="5" spans="2:5" x14ac:dyDescent="0.25">
      <c r="B5" s="3" t="s">
        <v>29</v>
      </c>
      <c r="C5" s="4">
        <v>3.36</v>
      </c>
      <c r="D5" s="4">
        <v>16.82</v>
      </c>
      <c r="E5" s="4">
        <v>26.33</v>
      </c>
    </row>
    <row r="6" spans="2:5" x14ac:dyDescent="0.25">
      <c r="B6" s="3" t="s">
        <v>30</v>
      </c>
      <c r="C6" s="4">
        <v>3.43</v>
      </c>
      <c r="D6" s="4">
        <v>18.420000000000002</v>
      </c>
      <c r="E6" s="4">
        <v>25.42</v>
      </c>
    </row>
    <row r="7" spans="2:5" x14ac:dyDescent="0.25">
      <c r="B7" s="3" t="s">
        <v>31</v>
      </c>
      <c r="C7" s="4">
        <v>4.76</v>
      </c>
      <c r="D7" s="4">
        <v>21.44</v>
      </c>
      <c r="E7" s="4">
        <v>39.29</v>
      </c>
    </row>
    <row r="8" spans="2:5" x14ac:dyDescent="0.25">
      <c r="B8" s="14"/>
      <c r="C8" s="15"/>
      <c r="D8" s="15"/>
      <c r="E8" s="15"/>
    </row>
    <row r="10" spans="2:5" x14ac:dyDescent="0.25">
      <c r="B10" s="11" t="s">
        <v>92</v>
      </c>
      <c r="C10" s="11"/>
      <c r="D10" s="11"/>
      <c r="E10" s="11"/>
    </row>
    <row r="11" spans="2:5" ht="45" x14ac:dyDescent="0.25">
      <c r="B11" s="1" t="s">
        <v>32</v>
      </c>
      <c r="C11" s="2" t="s">
        <v>33</v>
      </c>
      <c r="D11" s="2" t="s">
        <v>34</v>
      </c>
      <c r="E11" s="2" t="s">
        <v>35</v>
      </c>
    </row>
    <row r="12" spans="2:5" ht="45" x14ac:dyDescent="0.25">
      <c r="B12" s="3" t="s">
        <v>36</v>
      </c>
      <c r="C12" s="4" t="s">
        <v>37</v>
      </c>
      <c r="D12" s="4">
        <v>162990</v>
      </c>
      <c r="E12" s="4">
        <v>559056</v>
      </c>
    </row>
    <row r="13" spans="2:5" ht="45" x14ac:dyDescent="0.25">
      <c r="B13" s="3" t="s">
        <v>38</v>
      </c>
      <c r="C13" s="4" t="s">
        <v>39</v>
      </c>
      <c r="D13" s="4">
        <v>36600</v>
      </c>
      <c r="E13" s="4">
        <v>674172</v>
      </c>
    </row>
    <row r="14" spans="2:5" ht="30" x14ac:dyDescent="0.25">
      <c r="B14" s="3" t="s">
        <v>40</v>
      </c>
      <c r="C14" s="4" t="s">
        <v>41</v>
      </c>
      <c r="D14" s="4">
        <v>26750</v>
      </c>
      <c r="E14" s="4">
        <v>679985</v>
      </c>
    </row>
    <row r="17" spans="2:5" x14ac:dyDescent="0.25">
      <c r="B17" s="13" t="s">
        <v>94</v>
      </c>
      <c r="C17" s="13"/>
      <c r="D17" s="13"/>
      <c r="E17" s="13"/>
    </row>
    <row r="18" spans="2:5" ht="45" x14ac:dyDescent="0.25">
      <c r="B18" s="1" t="s">
        <v>79</v>
      </c>
      <c r="C18" s="2" t="s">
        <v>80</v>
      </c>
      <c r="D18" s="2" t="s">
        <v>81</v>
      </c>
      <c r="E18" s="2" t="s">
        <v>82</v>
      </c>
    </row>
    <row r="19" spans="2:5" ht="30" x14ac:dyDescent="0.25">
      <c r="B19" s="3" t="s">
        <v>24</v>
      </c>
      <c r="C19" s="9">
        <v>559056</v>
      </c>
      <c r="D19" s="9">
        <v>590056</v>
      </c>
      <c r="E19" s="10">
        <v>1425</v>
      </c>
    </row>
    <row r="20" spans="2:5" ht="30" x14ac:dyDescent="0.25">
      <c r="B20" s="3" t="s">
        <v>25</v>
      </c>
      <c r="C20" s="9">
        <v>674172</v>
      </c>
      <c r="D20" s="9">
        <v>705172</v>
      </c>
      <c r="E20" s="10">
        <v>1703</v>
      </c>
    </row>
    <row r="21" spans="2:5" x14ac:dyDescent="0.25">
      <c r="B21" s="3" t="s">
        <v>26</v>
      </c>
      <c r="C21" s="4" t="s">
        <v>83</v>
      </c>
      <c r="D21" s="9">
        <v>679985</v>
      </c>
      <c r="E21" s="10">
        <v>1643</v>
      </c>
    </row>
    <row r="24" spans="2:5" x14ac:dyDescent="0.25">
      <c r="B24" s="11" t="s">
        <v>91</v>
      </c>
      <c r="C24" s="11"/>
    </row>
    <row r="25" spans="2:5" x14ac:dyDescent="0.25">
      <c r="B25" s="1" t="s">
        <v>84</v>
      </c>
      <c r="C25" s="2" t="s">
        <v>85</v>
      </c>
    </row>
    <row r="26" spans="2:5" ht="30" x14ac:dyDescent="0.25">
      <c r="B26" s="3" t="s">
        <v>86</v>
      </c>
      <c r="C26" s="10">
        <v>1425</v>
      </c>
    </row>
    <row r="27" spans="2:5" ht="30" x14ac:dyDescent="0.25">
      <c r="B27" s="3" t="s">
        <v>87</v>
      </c>
      <c r="C27" s="10">
        <v>1643</v>
      </c>
    </row>
    <row r="28" spans="2:5" ht="30" x14ac:dyDescent="0.25">
      <c r="B28" s="3" t="s">
        <v>88</v>
      </c>
      <c r="C28" s="10">
        <v>1703</v>
      </c>
    </row>
    <row r="29" spans="2:5" ht="30" x14ac:dyDescent="0.25">
      <c r="B29" s="3" t="s">
        <v>89</v>
      </c>
      <c r="C29" s="10">
        <v>1600</v>
      </c>
    </row>
    <row r="30" spans="2:5" ht="45" x14ac:dyDescent="0.25">
      <c r="B30" s="3" t="s">
        <v>90</v>
      </c>
      <c r="C30" s="12">
        <v>2.7E-2</v>
      </c>
    </row>
  </sheetData>
  <mergeCells count="4">
    <mergeCell ref="B24:C24"/>
    <mergeCell ref="B10:E10"/>
    <mergeCell ref="B2:E2"/>
    <mergeCell ref="B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50F5-AA17-4CB8-A6E9-45CEE16A6E76}">
  <dimension ref="B2:D5"/>
  <sheetViews>
    <sheetView tabSelected="1" zoomScale="142" zoomScaleNormal="142" workbookViewId="0">
      <selection activeCell="E10" sqref="E10"/>
    </sheetView>
  </sheetViews>
  <sheetFormatPr defaultRowHeight="15" x14ac:dyDescent="0.25"/>
  <sheetData>
    <row r="2" spans="2:4" x14ac:dyDescent="0.25">
      <c r="B2" s="1" t="s">
        <v>79</v>
      </c>
      <c r="C2" s="2" t="s">
        <v>95</v>
      </c>
      <c r="D2" s="2" t="s">
        <v>96</v>
      </c>
    </row>
    <row r="3" spans="2:4" ht="30" x14ac:dyDescent="0.25">
      <c r="B3" s="3" t="s">
        <v>24</v>
      </c>
      <c r="C3" s="4">
        <v>1425</v>
      </c>
      <c r="D3" s="4">
        <v>1425</v>
      </c>
    </row>
    <row r="4" spans="2:4" ht="30" x14ac:dyDescent="0.25">
      <c r="B4" s="3" t="s">
        <v>25</v>
      </c>
      <c r="C4" s="4">
        <v>1703</v>
      </c>
      <c r="D4" s="4">
        <v>1703</v>
      </c>
    </row>
    <row r="5" spans="2:4" x14ac:dyDescent="0.25">
      <c r="B5" s="3" t="s">
        <v>26</v>
      </c>
      <c r="C5" s="4">
        <v>1643</v>
      </c>
      <c r="D5" s="4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Peer set</vt:lpstr>
      <vt:lpstr>Market Data</vt:lpstr>
      <vt:lpstr>Financial Data</vt:lpstr>
      <vt:lpstr>Trading Multiples</vt:lpstr>
      <vt:lpstr>Valuation Summary</vt:lpstr>
      <vt:lpstr>Football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</dc:creator>
  <cp:lastModifiedBy>Vaibhav K</cp:lastModifiedBy>
  <dcterms:created xsi:type="dcterms:W3CDTF">2026-06-17T16:20:45Z</dcterms:created>
  <dcterms:modified xsi:type="dcterms:W3CDTF">2026-06-24T16:20:42Z</dcterms:modified>
</cp:coreProperties>
</file>